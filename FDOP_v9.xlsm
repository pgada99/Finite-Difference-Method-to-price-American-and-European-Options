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polimi365-my.sharepoint.com/personal/10801034_polimi_it/Documents/PARIS SACLAY/Progetto Finale Informatica/FDOP_v9/Option_pricing_project/"/>
    </mc:Choice>
  </mc:AlternateContent>
  <xr:revisionPtr revIDLastSave="192" documentId="13_ncr:1_{5588F61C-9CA0-1341-9BFF-ED7D170E0AA0}" xr6:coauthVersionLast="47" xr6:coauthVersionMax="47" xr10:uidLastSave="{1664A090-487B-AB45-8D4B-54F31A613A44}"/>
  <bookViews>
    <workbookView xWindow="0" yWindow="0" windowWidth="25600" windowHeight="16000" xr2:uid="{8F6188B2-0613-8A47-8022-62006BE23CAF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13" i="1" a="1"/>
  <c r="H13" i="1" l="1"/>
  <c r="H12" i="1" a="1"/>
  <c r="H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<sst xmlns="http://schemas.openxmlformats.org/spreadsheetml/2006/main" count="33" uniqueCount="33">
  <si>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r</t>
  </si>
  <si>
    <t>M</t>
  </si>
  <si>
    <t>N</t>
  </si>
  <si>
    <t>Delta</t>
  </si>
  <si>
    <t>Gamma</t>
  </si>
  <si>
    <t>Theta</t>
  </si>
  <si>
    <t>Rho</t>
  </si>
  <si>
    <t>Vega</t>
  </si>
  <si>
    <t>Finite-Differences Option Pricer</t>
  </si>
  <si>
    <t>Insert Data:</t>
  </si>
  <si>
    <t>Underlying Price</t>
  </si>
  <si>
    <t>Strike Price</t>
  </si>
  <si>
    <t>K</t>
  </si>
  <si>
    <t>Volatility</t>
  </si>
  <si>
    <t>σ</t>
  </si>
  <si>
    <t>T</t>
  </si>
  <si>
    <t>Time Mesh Size</t>
  </si>
  <si>
    <t>Spot Mesh Size</t>
  </si>
  <si>
    <t>Risk-Free Rate</t>
  </si>
  <si>
    <t>Maturity Date</t>
  </si>
  <si>
    <t>EU Call (B.S.)</t>
  </si>
  <si>
    <t>EU Put (B.S.)</t>
  </si>
  <si>
    <r>
      <rPr>
        <i/>
        <sz val="12"/>
        <color theme="1"/>
        <rFont val="Helvetica"/>
        <family val="2"/>
      </rPr>
      <t>S</t>
    </r>
    <r>
      <rPr>
        <sz val="12"/>
        <color theme="1"/>
        <rFont val="Helvetica"/>
        <family val="2"/>
      </rPr>
      <t>(0)</t>
    </r>
  </si>
  <si>
    <r>
      <t>Call</t>
    </r>
    <r>
      <rPr>
        <sz val="12"/>
        <color theme="1"/>
        <rFont val="Helvetica"/>
        <family val="2"/>
      </rPr>
      <t xml:space="preserve"> or </t>
    </r>
    <r>
      <rPr>
        <b/>
        <sz val="12"/>
        <color theme="1"/>
        <rFont val="Helvetica"/>
        <family val="2"/>
      </rPr>
      <t>Put</t>
    </r>
  </si>
  <si>
    <r>
      <t>European</t>
    </r>
    <r>
      <rPr>
        <sz val="12"/>
        <color theme="1"/>
        <rFont val="Helvetica"/>
        <family val="2"/>
      </rPr>
      <t xml:space="preserve"> or</t>
    </r>
    <r>
      <rPr>
        <b/>
        <sz val="12"/>
        <color theme="1"/>
        <rFont val="Helvetica"/>
        <family val="2"/>
      </rPr>
      <t xml:space="preserve"> American</t>
    </r>
  </si>
  <si>
    <t>Option Price:</t>
  </si>
  <si>
    <t>Plots</t>
  </si>
  <si>
    <t>Today is</t>
  </si>
  <si>
    <t>Computation Date</t>
  </si>
  <si>
    <t>Please insert data into the black cells. If no computation date is inserted, computation date is today by default.</t>
  </si>
  <si>
    <r>
      <rPr>
        <b/>
        <sz val="12"/>
        <color theme="1"/>
        <rFont val="Helvetica"/>
        <family val="2"/>
      </rPr>
      <t xml:space="preserve">Exercise Boundary </t>
    </r>
    <r>
      <rPr>
        <sz val="12"/>
        <color theme="1"/>
        <rFont val="Helvetica"/>
        <family val="2"/>
      </rPr>
      <t>(for American Options only)</t>
    </r>
  </si>
  <si>
    <t>european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</si>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</sst>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Helvetica"/>
      <family val="2"/>
    </font>
    <font>
      <sz val="12"/>
      <color theme="1"/>
      <name val="Helvetica"/>
      <family val="2"/>
    </font>
    <font>
      <b/>
      <sz val="12"/>
      <color theme="1"/>
      <name val="Helvetica"/>
      <family val="2"/>
    </font>
    <font>
      <i/>
      <sz val="12"/>
      <color theme="1"/>
      <name val="Helvetica"/>
      <family val="2"/>
    </font>
    <font>
      <sz val="12"/>
      <color theme="0"/>
      <name val="Helvetica"/>
      <family val="2"/>
    </font>
    <font>
      <b/>
      <sz val="12"/>
      <color rgb="FF000000"/>
      <name val="Helvetica"/>
      <family val="2"/>
    </font>
    <font>
      <b/>
      <sz val="16"/>
      <color theme="1"/>
      <name val="Helvetica"/>
      <family val="2"/>
    </font>
    <font>
      <sz val="12"/>
      <color rgb="FF000000"/>
      <name val="Calibri"/>
      <family val="2"/>
    </font>
    <font>
      <sz val="12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2" borderId="0" xfId="0" applyFont="1" applyFill="1"/>
    <xf numFmtId="0" fontId="4" fillId="2" borderId="2" xfId="0" applyFont="1" applyFill="1" applyBorder="1" applyAlignment="1"/>
    <xf numFmtId="0" fontId="4" fillId="2" borderId="3" xfId="0" applyFont="1" applyFill="1" applyBorder="1" applyAlignment="1"/>
    <xf numFmtId="0" fontId="4" fillId="2" borderId="1" xfId="0" applyFont="1" applyFill="1" applyBorder="1" applyAlignment="1"/>
    <xf numFmtId="0" fontId="3" fillId="2" borderId="0" xfId="0" applyFont="1" applyFill="1" applyBorder="1"/>
    <xf numFmtId="0" fontId="6" fillId="4" borderId="10" xfId="0" applyFont="1" applyFill="1" applyBorder="1"/>
    <xf numFmtId="0" fontId="5" fillId="2" borderId="0" xfId="0" applyFont="1" applyFill="1" applyBorder="1"/>
    <xf numFmtId="0" fontId="3" fillId="2" borderId="0" xfId="0" applyFont="1" applyFill="1" applyAlignment="1">
      <alignment horizontal="right"/>
    </xf>
    <xf numFmtId="0" fontId="4" fillId="3" borderId="2" xfId="0" applyFont="1" applyFill="1" applyBorder="1" applyAlignment="1">
      <alignment horizontal="right"/>
    </xf>
    <xf numFmtId="0" fontId="3" fillId="3" borderId="4" xfId="0" applyFont="1" applyFill="1" applyBorder="1"/>
    <xf numFmtId="0" fontId="4" fillId="3" borderId="5" xfId="0" applyFont="1" applyFill="1" applyBorder="1" applyAlignment="1">
      <alignment horizontal="right"/>
    </xf>
    <xf numFmtId="0" fontId="3" fillId="3" borderId="6" xfId="0" applyFont="1" applyFill="1" applyBorder="1"/>
    <xf numFmtId="14" fontId="6" fillId="4" borderId="10" xfId="0" applyNumberFormat="1" applyFont="1" applyFill="1" applyBorder="1"/>
    <xf numFmtId="0" fontId="4" fillId="2" borderId="0" xfId="0" applyFont="1" applyFill="1"/>
    <xf numFmtId="14" fontId="3" fillId="2" borderId="0" xfId="0" applyNumberFormat="1" applyFont="1" applyFill="1"/>
    <xf numFmtId="0" fontId="4" fillId="3" borderId="7" xfId="0" applyFont="1" applyFill="1" applyBorder="1" applyAlignment="1">
      <alignment horizontal="right"/>
    </xf>
    <xf numFmtId="0" fontId="3" fillId="3" borderId="9" xfId="0" applyFont="1" applyFill="1" applyBorder="1"/>
    <xf numFmtId="0" fontId="3" fillId="2" borderId="8" xfId="0" applyFont="1" applyFill="1" applyBorder="1"/>
    <xf numFmtId="0" fontId="6" fillId="4" borderId="11" xfId="0" applyFont="1" applyFill="1" applyBorder="1"/>
    <xf numFmtId="0" fontId="1" fillId="5" borderId="0" xfId="0" applyFont="1" applyFill="1"/>
    <xf numFmtId="2" fontId="0" fillId="5" borderId="0" xfId="0" applyNumberFormat="1" applyFill="1"/>
    <xf numFmtId="0" fontId="0" fillId="5" borderId="0" xfId="0" applyFill="1"/>
    <xf numFmtId="14" fontId="0" fillId="5" borderId="0" xfId="0" applyNumberFormat="1" applyFill="1"/>
    <xf numFmtId="0" fontId="4" fillId="2" borderId="5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right"/>
    </xf>
    <xf numFmtId="0" fontId="0" fillId="2" borderId="0" xfId="0" applyFill="1"/>
    <xf numFmtId="0" fontId="10" fillId="5" borderId="0" xfId="0" applyFont="1" applyFill="1"/>
    <xf numFmtId="0" fontId="6" fillId="4" borderId="10" xfId="0" applyNumberFormat="1" applyFont="1" applyFill="1" applyBorder="1"/>
    <xf numFmtId="0" fontId="3" fillId="2" borderId="2" xfId="0" applyFont="1" applyFill="1" applyBorder="1"/>
    <xf numFmtId="14" fontId="3" fillId="2" borderId="4" xfId="0" applyNumberFormat="1" applyFont="1" applyFill="1" applyBorder="1"/>
    <xf numFmtId="0" fontId="3" fillId="2" borderId="7" xfId="0" applyFont="1" applyFill="1" applyBorder="1"/>
    <xf numFmtId="14" fontId="6" fillId="4" borderId="9" xfId="0" applyNumberFormat="1" applyFont="1" applyFill="1" applyBorder="1"/>
    <xf numFmtId="0" fontId="3" fillId="2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0" fontId="4" fillId="3" borderId="13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Option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FD Price</c:v>
          </c:tx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50.082167390730575</c:v>
              </c:pt>
              <c:pt idx="1">
                <c:v>48.455610253626276</c:v>
              </c:pt>
              <c:pt idx="2">
                <c:v>46.798604792511981</c:v>
              </c:pt>
              <c:pt idx="3">
                <c:v>45.109216295232379</c:v>
              </c:pt>
              <c:pt idx="4">
                <c:v>43.38644484083509</c:v>
              </c:pt>
              <c:pt idx="5">
                <c:v>41.630162516641434</c:v>
              </c:pt>
              <c:pt idx="6">
                <c:v>39.841092894942079</c:v>
              </c:pt>
              <c:pt idx="7">
                <c:v>38.020825243137971</c:v>
              </c:pt>
              <c:pt idx="8">
                <c:v>36.171854028947543</c:v>
              </c:pt>
              <c:pt idx="9">
                <c:v>34.297632800850039</c:v>
              </c:pt>
              <c:pt idx="10">
                <c:v>32.402630453986845</c:v>
              </c:pt>
              <c:pt idx="11">
                <c:v>30.49237729237101</c:v>
              </c:pt>
              <c:pt idx="12">
                <c:v>28.573488290184432</c:v>
              </c:pt>
              <c:pt idx="13">
                <c:v>26.653651688411713</c:v>
              </c:pt>
              <c:pt idx="14">
                <c:v>24.741572675783075</c:v>
              </c:pt>
              <c:pt idx="15">
                <c:v>22.846864475128367</c:v>
              </c:pt>
              <c:pt idx="16">
                <c:v>20.979882670062345</c:v>
              </c:pt>
              <c:pt idx="17">
                <c:v>19.151502918852938</c:v>
              </c:pt>
              <c:pt idx="18">
                <c:v>17.372847033723488</c:v>
              </c:pt>
              <c:pt idx="19">
                <c:v>15.654967354552962</c:v>
              </c:pt>
              <c:pt idx="20">
                <c:v>14.008503931198547</c:v>
              </c:pt>
              <c:pt idx="21">
                <c:v>12.443332735831088</c:v>
              </c:pt>
              <c:pt idx="22">
                <c:v>10.968225484297134</c:v>
              </c:pt>
              <c:pt idx="23">
                <c:v>9.590542294246049</c:v>
              </c:pt>
              <c:pt idx="24">
                <c:v>8.3159771611159385</c:v>
              </c:pt>
              <c:pt idx="25">
                <c:v>7.1483731170243239</c:v>
              </c:pt>
              <c:pt idx="26">
                <c:v>6.0896192006918035</c:v>
              </c:pt>
              <c:pt idx="27">
                <c:v>5.1396354571452303</c:v>
              </c:pt>
              <c:pt idx="28">
                <c:v>4.2964456991102171</c:v>
              </c:pt>
              <c:pt idx="29">
                <c:v>3.5563313632454752</c:v>
              </c:pt>
              <c:pt idx="30">
                <c:v>2.9140541327750711</c:v>
              </c:pt>
              <c:pt idx="31">
                <c:v>2.363130622287823</c:v>
              </c:pt>
              <c:pt idx="32">
                <c:v>1.8961397109958242</c:v>
              </c:pt>
              <c:pt idx="33">
                <c:v>1.505042238647053</c:v>
              </c:pt>
              <c:pt idx="34">
                <c:v>1.1814936956664321</c:v>
              </c:pt>
              <c:pt idx="35">
                <c:v>0.91713300092483352</c:v>
              </c:pt>
              <c:pt idx="36">
                <c:v>0.70383407229329609</c:v>
              </c:pt>
              <c:pt idx="37">
                <c:v>0.53391117681718903</c:v>
              </c:pt>
              <c:pt idx="38">
                <c:v>0.40027350244274357</c:v>
              </c:pt>
              <c:pt idx="39">
                <c:v>0.29652857186063192</c:v>
              </c:pt>
              <c:pt idx="40">
                <c:v>0.21703766641619932</c:v>
              </c:pt>
              <c:pt idx="41">
                <c:v>0.15692911318667122</c:v>
              </c:pt>
              <c:pt idx="42">
                <c:v>0.11207701168151715</c:v>
              </c:pt>
              <c:pt idx="43">
                <c:v>7.9053758921654366E-2</c:v>
              </c:pt>
              <c:pt idx="44">
                <c:v>5.5064688939801695E-2</c:v>
              </c:pt>
              <c:pt idx="45">
                <c:v>3.787245369957476E-2</c:v>
              </c:pt>
              <c:pt idx="46">
                <c:v>2.5717644238754379E-2</c:v>
              </c:pt>
              <c:pt idx="47">
                <c:v>1.7240788750993392E-2</c:v>
              </c:pt>
              <c:pt idx="48">
                <c:v>1.1409448384713788E-2</c:v>
              </c:pt>
              <c:pt idx="49">
                <c:v>7.4528021313769802E-3</c:v>
              </c:pt>
              <c:pt idx="50">
                <c:v>4.804964150086204E-3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295-C548-945E-BCB281C84517}"/>
            </c:ext>
          </c:extLst>
        </c:ser>
        <c:ser>
          <c:idx val="1"/>
          <c:order val="1"/>
          <c:tx>
            <c:v>Payoff</c:v>
          </c:tx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54.797895711060065</c:v>
              </c:pt>
              <c:pt idx="1">
                <c:v>53.18739617350937</c:v>
              </c:pt>
              <c:pt idx="2">
                <c:v>51.537117110608435</c:v>
              </c:pt>
              <c:pt idx="3">
                <c:v>49.846075963467797</c:v>
              </c:pt>
              <c:pt idx="4">
                <c:v>48.11326590387948</c:v>
              </c:pt>
              <c:pt idx="5">
                <c:v>46.337655234861998</c:v>
              </c:pt>
              <c:pt idx="6">
                <c:v>44.518186776398792</c:v>
              </c:pt>
              <c:pt idx="7">
                <c:v>42.653777236004288</c:v>
              </c:pt>
              <c:pt idx="8">
                <c:v>40.743316563742852</c:v>
              </c:pt>
              <c:pt idx="9">
                <c:v>38.785667291316756</c:v>
              </c:pt>
              <c:pt idx="10">
                <c:v>36.779663854829366</c:v>
              </c:pt>
              <c:pt idx="11">
                <c:v>34.724111900820645</c:v>
              </c:pt>
              <c:pt idx="12">
                <c:v>32.617787575161515</c:v>
              </c:pt>
              <c:pt idx="13">
                <c:v>30.459436794384175</c:v>
              </c:pt>
              <c:pt idx="14">
                <c:v>28.247774499013531</c:v>
              </c:pt>
              <c:pt idx="15">
                <c:v>25.981483888456495</c:v>
              </c:pt>
              <c:pt idx="16">
                <c:v>23.659215636992599</c:v>
              </c:pt>
              <c:pt idx="17">
                <c:v>21.279587090399602</c:v>
              </c:pt>
              <c:pt idx="18">
                <c:v>18.84118144273566</c:v>
              </c:pt>
              <c:pt idx="19">
                <c:v>16.342546892787794</c:v>
              </c:pt>
              <c:pt idx="20">
                <c:v>13.782195779684756</c:v>
              </c:pt>
              <c:pt idx="21">
                <c:v>11.158603697159208</c:v>
              </c:pt>
              <c:pt idx="22">
                <c:v>8.4702085859322409</c:v>
              </c:pt>
              <c:pt idx="23">
                <c:v>5.7154098036796057</c:v>
              </c:pt>
              <c:pt idx="24">
                <c:v>2.8925671720259913</c:v>
              </c:pt>
              <c:pt idx="25">
                <c:v>2.8421709430404007E-14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295-C548-945E-BCB281C84517}"/>
            </c:ext>
          </c:extLst>
        </c:ser>
        <c:ser>
          <c:idx val="2"/>
          <c:order val="2"/>
          <c:tx>
            <c:v>BS Price</c:v>
          </c:tx>
          <c:spPr>
            <a:ln w="53975">
              <a:solidFill>
                <a:srgbClr val="C83200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50.103726941261883</c:v>
              </c:pt>
              <c:pt idx="1">
                <c:v>48.499031491761798</c:v>
              </c:pt>
              <c:pt idx="2">
                <c:v>46.857261881300715</c:v>
              </c:pt>
              <c:pt idx="3">
                <c:v>45.178528241907514</c:v>
              </c:pt>
              <c:pt idx="4">
                <c:v>43.463280150859944</c:v>
              </c:pt>
              <c:pt idx="5">
                <c:v>41.712395106437427</c:v>
              </c:pt>
              <c:pt idx="6">
                <c:v>39.927277044788156</c:v>
              </c:pt>
              <c:pt idx="7">
                <c:v>38.109961911874677</c:v>
              </c:pt>
              <c:pt idx="8">
                <c:v>36.263225714544831</c:v>
              </c:pt>
              <c:pt idx="9">
                <c:v>34.390688818509389</c:v>
              </c:pt>
              <c:pt idx="10">
                <c:v>32.496908709856669</c:v>
              </c:pt>
              <c:pt idx="11">
                <c:v>30.587452201562499</c:v>
              </c:pt>
              <c:pt idx="12">
                <c:v>28.668937378091812</c:v>
              </c:pt>
              <c:pt idx="13">
                <c:v>26.749035652054786</c:v>
              </c:pt>
              <c:pt idx="14">
                <c:v>24.836425336195745</c:v>
              </c:pt>
              <c:pt idx="15">
                <c:v>22.940690211132377</c:v>
              </c:pt>
              <c:pt idx="16">
                <c:v>21.072159681236727</c:v>
              </c:pt>
              <c:pt idx="17">
                <c:v>19.241691110829962</c:v>
              </c:pt>
              <c:pt idx="18">
                <c:v>17.460399534529444</c:v>
              </c:pt>
              <c:pt idx="19">
                <c:v>15.739344730451066</c:v>
              </c:pt>
              <c:pt idx="20">
                <c:v>14.089190139512908</c:v>
              </c:pt>
              <c:pt idx="21">
                <c:v>12.519851786718128</c:v>
              </c:pt>
              <c:pt idx="22">
                <c:v>11.040157729948341</c:v>
              </c:pt>
              <c:pt idx="23">
                <c:v>9.6575392583043325</c:v>
              </c:pt>
              <c:pt idx="24">
                <c:v>8.377773886709015</c:v>
              </c:pt>
              <c:pt idx="25">
                <c:v>7.2047971590081161</c:v>
              </c:pt>
              <c:pt idx="26">
                <c:v>6.1405956131683368</c:v>
              </c:pt>
              <c:pt idx="27">
                <c:v>5.1851874152905637</c:v>
              </c:pt>
              <c:pt idx="28">
                <c:v>4.3366907190066044</c:v>
              </c:pt>
              <c:pt idx="29">
                <c:v>3.5914734126785781</c:v>
              </c:pt>
              <c:pt idx="30">
                <c:v>2.9443722260913638</c:v>
              </c:pt>
              <c:pt idx="31">
                <c:v>2.3889647328119921</c:v>
              </c:pt>
              <c:pt idx="32">
                <c:v>1.9178749919868459</c:v>
              </c:pt>
              <c:pt idx="33">
                <c:v>1.5230926055729324</c:v>
              </c:pt>
              <c:pt idx="34">
                <c:v>1.1962857877706803</c:v>
              </c:pt>
              <c:pt idx="35">
                <c:v>0.92909141907743376</c:v>
              </c:pt>
              <c:pt idx="36">
                <c:v>0.71336860265336455</c:v>
              </c:pt>
              <c:pt idx="37">
                <c:v>0.54140648150449699</c:v>
              </c:pt>
              <c:pt idx="38">
                <c:v>0.40608151687302918</c:v>
              </c:pt>
              <c:pt idx="39">
                <c:v>0.30096361952739148</c:v>
              </c:pt>
              <c:pt idx="40">
                <c:v>0.22037410670062441</c:v>
              </c:pt>
              <c:pt idx="41">
                <c:v>0.15940119035262379</c:v>
              </c:pt>
              <c:pt idx="42">
                <c:v>0.1138804800262907</c:v>
              </c:pt>
              <c:pt idx="43">
                <c:v>8.0348819365834157E-2</c:v>
              </c:pt>
              <c:pt idx="44">
                <c:v>5.597977958780076E-2</c:v>
              </c:pt>
              <c:pt idx="45">
                <c:v>3.8508480630157438E-2</c:v>
              </c:pt>
              <c:pt idx="46">
                <c:v>2.6152306735987008E-2</c:v>
              </c:pt>
              <c:pt idx="47">
                <c:v>1.753273320472154E-2</c:v>
              </c:pt>
              <c:pt idx="48">
                <c:v>1.1602066587762083E-2</c:v>
              </c:pt>
              <c:pt idx="49">
                <c:v>7.5775645689466486E-3</c:v>
              </c:pt>
              <c:pt idx="50">
                <c:v>4.8842418384024283E-3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295-C548-945E-BCB281C84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847679"/>
        <c:axId val="1175560543"/>
      </c:scatterChart>
      <c:valAx>
        <c:axId val="1102847679"/>
        <c:scaling>
          <c:orientation val="minMax"/>
          <c:max val="222"/>
          <c:min val="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Underlying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5560543"/>
        <c:crosses val="autoZero"/>
        <c:crossBetween val="midCat"/>
      </c:valAx>
      <c:valAx>
        <c:axId val="11755605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28476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 Delta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-1.0133894431511177</c:v>
              </c:pt>
              <c:pt idx="1">
                <c:v>-1.0068391257714506</c:v>
              </c:pt>
              <c:pt idx="2">
                <c:v>-1.0014732925476255</c:v>
              </c:pt>
              <c:pt idx="3">
                <c:v>-0.99663000590641848</c:v>
              </c:pt>
              <c:pt idx="4">
                <c:v>-0.99175598811743726</c:v>
              </c:pt>
              <c:pt idx="5">
                <c:v>-0.98637202711263472</c:v>
              </c:pt>
              <c:pt idx="6">
                <c:v>-0.98004609615980431</c:v>
              </c:pt>
              <c:pt idx="7">
                <c:v>-0.97237440351352611</c:v>
              </c:pt>
              <c:pt idx="8">
                <c:v>-0.96297020442166703</c:v>
              </c:pt>
              <c:pt idx="9">
                <c:v>-0.95145992505069066</c:v>
              </c:pt>
              <c:pt idx="10">
                <c:v>-0.93748591125481617</c:v>
              </c:pt>
              <c:pt idx="11">
                <c:v>-0.92071488564138626</c:v>
              </c:pt>
              <c:pt idx="12">
                <c:v>-0.90085095637744528</c:v>
              </c:pt>
              <c:pt idx="13">
                <c:v>-0.87765177545863748</c:v>
              </c:pt>
              <c:pt idx="14">
                <c:v>-0.85094621714197949</c:v>
              </c:pt>
              <c:pt idx="15">
                <c:v>-0.82065177690693292</c:v>
              </c:pt>
              <c:pt idx="16">
                <c:v>-0.7867898206332723</c:v>
              </c:pt>
              <c:pt idx="17">
                <c:v>-0.74949688123885727</c:v>
              </c:pt>
              <c:pt idx="18">
                <c:v>-0.70903043079096761</c:v>
              </c:pt>
              <c:pt idx="19">
                <c:v>-0.66576795432931768</c:v>
              </c:pt>
              <c:pt idx="20">
                <c:v>-0.62019869684462814</c:v>
              </c:pt>
              <c:pt idx="21">
                <c:v>-0.57290810205232479</c:v>
              </c:pt>
              <c:pt idx="22">
                <c:v>-0.52455564587618775</c:v>
              </c:pt>
              <c:pt idx="23">
                <c:v>-0.47584741250579699</c:v>
              </c:pt>
              <c:pt idx="24">
                <c:v>-0.42750528964594581</c:v>
              </c:pt>
              <c:pt idx="25">
                <c:v>-0.38023500651743458</c:v>
              </c:pt>
              <c:pt idx="26">
                <c:v>-0.33469535930219058</c:v>
              </c:pt>
              <c:pt idx="27">
                <c:v>-0.29147084883247526</c:v>
              </c:pt>
              <c:pt idx="28">
                <c:v>-0.25104961049809438</c:v>
              </c:pt>
              <c:pt idx="29">
                <c:v>-0.21380799156566974</c:v>
              </c:pt>
              <c:pt idx="30">
                <c:v>-0.18000249316951925</c:v>
              </c:pt>
              <c:pt idx="31">
                <c:v>-0.14976912151406793</c:v>
              </c:pt>
              <c:pt idx="32">
                <c:v>-0.12312956358804637</c:v>
              </c:pt>
              <c:pt idx="33">
                <c:v>-0.1000030841233169</c:v>
              </c:pt>
              <c:pt idx="34">
                <c:v>-8.0222680241781322E-2</c:v>
              </c:pt>
              <c:pt idx="35">
                <c:v>-6.3553851444735313E-2</c:v>
              </c:pt>
              <c:pt idx="36">
                <c:v>-4.9714343507321151E-2</c:v>
              </c:pt>
              <c:pt idx="37">
                <c:v>-3.8393381816874718E-2</c:v>
              </c:pt>
              <c:pt idx="38">
                <c:v>-2.926918333728588E-2</c:v>
              </c:pt>
              <c:pt idx="39">
                <c:v>-2.2023879086088237E-2</c:v>
              </c:pt>
              <c:pt idx="40">
                <c:v>-1.6355342608139142E-2</c:v>
              </c:pt>
              <c:pt idx="41">
                <c:v>-1.1985762169655636E-2</c:v>
              </c:pt>
              <c:pt idx="42">
                <c:v>-8.6670834477531652E-3</c:v>
              </c:pt>
              <c:pt idx="43">
                <c:v>-6.1836660915714587E-3</c:v>
              </c:pt>
              <c:pt idx="44">
                <c:v>-4.3526349274358713E-3</c:v>
              </c:pt>
              <c:pt idx="45">
                <c:v>-3.0224686883133785E-3</c:v>
              </c:pt>
              <c:pt idx="46">
                <c:v>-2.0703676302151761E-3</c:v>
              </c:pt>
              <c:pt idx="47">
                <c:v>-1.3988923307436223E-3</c:v>
              </c:pt>
              <c:pt idx="48">
                <c:v>-9.3228670625873319E-4</c:v>
              </c:pt>
              <c:pt idx="49">
                <c:v>-6.1280496619764348E-4</c:v>
              </c:pt>
              <c:pt idx="50">
                <c:v>-3.9726807825675816E-4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CCF-2F4F-BA5D-82179B521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267583"/>
        <c:axId val="1095132271"/>
      </c:scatterChart>
      <c:valAx>
        <c:axId val="1434267583"/>
        <c:scaling>
          <c:orientation val="minMax"/>
          <c:max val="222"/>
          <c:min val="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Underlying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5132271"/>
        <c:crosses val="autoZero"/>
        <c:crossBetween val="midCat"/>
      </c:valAx>
      <c:valAx>
        <c:axId val="1095132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42675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 Gamma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-1.0891973855346838E-2</c:v>
              </c:pt>
              <c:pt idx="1">
                <c:v>-1.1489368478256524E-2</c:v>
              </c:pt>
              <c:pt idx="2">
                <c:v>-1.1632183995304012E-2</c:v>
              </c:pt>
              <c:pt idx="3">
                <c:v>-1.1417657403043067E-2</c:v>
              </c:pt>
              <c:pt idx="4">
                <c:v>-1.0914900766449333E-2</c:v>
              </c:pt>
              <c:pt idx="5">
                <c:v>-1.0171458596269828E-2</c:v>
              </c:pt>
              <c:pt idx="6">
                <c:v>-9.2194872760239487E-3</c:v>
              </c:pt>
              <c:pt idx="7">
                <c:v>-8.0813149274446428E-3</c:v>
              </c:pt>
              <c:pt idx="8">
                <c:v>-6.7742514570401542E-3</c:v>
              </c:pt>
              <c:pt idx="9">
                <c:v>-5.3145818936427471E-3</c:v>
              </c:pt>
              <c:pt idx="10">
                <c:v>-3.7207060304313552E-3</c:v>
              </c:pt>
              <c:pt idx="11">
                <c:v>-2.0153988150230415E-3</c:v>
              </c:pt>
              <c:pt idx="12">
                <c:v>-2.2717353968909498E-4</c:v>
              </c:pt>
              <c:pt idx="13">
                <c:v>1.609255944191931E-3</c:v>
              </c:pt>
              <c:pt idx="14">
                <c:v>3.4533905374916642E-3</c:v>
              </c:pt>
              <c:pt idx="15">
                <c:v>5.2601742014459826E-3</c:v>
              </c:pt>
              <c:pt idx="16">
                <c:v>6.9819187677770183E-3</c:v>
              </c:pt>
              <c:pt idx="17">
                <c:v>8.5707534394154766E-3</c:v>
              </c:pt>
              <c:pt idx="18">
                <c:v>9.9813772471043782E-3</c:v>
              </c:pt>
              <c:pt idx="19">
                <c:v>1.1173857913206358E-2</c:v>
              </c:pt>
              <c:pt idx="20">
                <c:v>1.2116208610489274E-2</c:v>
              </c:pt>
              <c:pt idx="21">
                <c:v>1.2786489845245077E-2</c:v>
              </c:pt>
              <c:pt idx="22">
                <c:v>1.3174227704691276E-2</c:v>
              </c:pt>
              <c:pt idx="23">
                <c:v>1.3281008130664447E-2</c:v>
              </c:pt>
              <c:pt idx="24">
                <c:v>1.3120191871165877E-2</c:v>
              </c:pt>
              <c:pt idx="25">
                <c:v>1.2715785701093206E-2</c:v>
              </c:pt>
              <c:pt idx="26">
                <c:v>1.2100590763385365E-2</c:v>
              </c:pt>
              <c:pt idx="27">
                <c:v>1.1313817659709496E-2</c:v>
              </c:pt>
              <c:pt idx="28">
                <c:v>1.0398402049058182E-2</c:v>
              </c:pt>
              <c:pt idx="29">
                <c:v>9.3982695492072638E-3</c:v>
              </c:pt>
              <c:pt idx="30">
                <c:v>8.3557846519257649E-3</c:v>
              </c:pt>
              <c:pt idx="31">
                <c:v>7.3095791315400931E-3</c:v>
              </c:pt>
              <c:pt idx="32">
                <c:v>6.2928982417301896E-3</c:v>
              </c:pt>
              <c:pt idx="33">
                <c:v>5.3325368136432835E-3</c:v>
              </c:pt>
              <c:pt idx="34">
                <c:v>4.4483714191292413E-3</c:v>
              </c:pt>
              <c:pt idx="35">
                <c:v>3.6534371088321987E-3</c:v>
              </c:pt>
              <c:pt idx="36">
                <c:v>2.9544537260815878E-3</c:v>
              </c:pt>
              <c:pt idx="37">
                <c:v>2.3526805172861672E-3</c:v>
              </c:pt>
              <c:pt idx="38">
                <c:v>1.8449689909932579E-3</c:v>
              </c:pt>
              <c:pt idx="39">
                <c:v>1.4248906303942462E-3</c:v>
              </c:pt>
              <c:pt idx="40">
                <c:v>1.0838344014892467E-3</c:v>
              </c:pt>
              <c:pt idx="41">
                <c:v>8.1199448646435482E-4</c:v>
              </c:pt>
              <c:pt idx="42">
                <c:v>5.9919679310428003E-4</c:v>
              </c:pt>
              <c:pt idx="43">
                <c:v>4.3553968080850851E-4</c:v>
              </c:pt>
              <c:pt idx="44">
                <c:v>3.1184719230470089E-4</c:v>
              </c:pt>
              <c:pt idx="45">
                <c:v>2.19950272904977E-4</c:v>
              </c:pt>
              <c:pt idx="46">
                <c:v>1.5282250911043759E-4</c:v>
              </c:pt>
              <c:pt idx="47">
                <c:v>1.0460223875694154E-4</c:v>
              </c:pt>
              <c:pt idx="48">
                <c:v>7.0533491068653295E-5</c:v>
              </c:pt>
              <c:pt idx="49">
                <c:v>4.6855416247173507E-5</c:v>
              </c:pt>
              <c:pt idx="50">
                <c:v>3.0665000905725363E-5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A4-304D-B688-AB4144D29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533999"/>
        <c:axId val="1148076559"/>
      </c:scatterChart>
      <c:valAx>
        <c:axId val="1182533999"/>
        <c:scaling>
          <c:orientation val="minMax"/>
          <c:max val="222"/>
          <c:min val="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Underlying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8076559"/>
        <c:crosses val="autoZero"/>
        <c:crossBetween val="midCat"/>
      </c:valAx>
      <c:valAx>
        <c:axId val="1148076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Gamma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25339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Option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FD Price</c:v>
          </c:tx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50.082167390730575</c:v>
              </c:pt>
              <c:pt idx="1">
                <c:v>48.455610253626276</c:v>
              </c:pt>
              <c:pt idx="2">
                <c:v>46.798604792511981</c:v>
              </c:pt>
              <c:pt idx="3">
                <c:v>45.109216295232379</c:v>
              </c:pt>
              <c:pt idx="4">
                <c:v>43.38644484083509</c:v>
              </c:pt>
              <c:pt idx="5">
                <c:v>41.630162516641434</c:v>
              </c:pt>
              <c:pt idx="6">
                <c:v>39.841092894942079</c:v>
              </c:pt>
              <c:pt idx="7">
                <c:v>38.020825243137971</c:v>
              </c:pt>
              <c:pt idx="8">
                <c:v>36.171854028947543</c:v>
              </c:pt>
              <c:pt idx="9">
                <c:v>34.297632800850039</c:v>
              </c:pt>
              <c:pt idx="10">
                <c:v>32.402630453986845</c:v>
              </c:pt>
              <c:pt idx="11">
                <c:v>30.49237729237101</c:v>
              </c:pt>
              <c:pt idx="12">
                <c:v>28.573488290184432</c:v>
              </c:pt>
              <c:pt idx="13">
                <c:v>26.653651688411713</c:v>
              </c:pt>
              <c:pt idx="14">
                <c:v>24.741572675783075</c:v>
              </c:pt>
              <c:pt idx="15">
                <c:v>22.846864475128367</c:v>
              </c:pt>
              <c:pt idx="16">
                <c:v>20.979882670062345</c:v>
              </c:pt>
              <c:pt idx="17">
                <c:v>19.151502918852938</c:v>
              </c:pt>
              <c:pt idx="18">
                <c:v>17.372847033723488</c:v>
              </c:pt>
              <c:pt idx="19">
                <c:v>15.654967354552962</c:v>
              </c:pt>
              <c:pt idx="20">
                <c:v>14.008503931198547</c:v>
              </c:pt>
              <c:pt idx="21">
                <c:v>12.443332735831088</c:v>
              </c:pt>
              <c:pt idx="22">
                <c:v>10.968225484297134</c:v>
              </c:pt>
              <c:pt idx="23">
                <c:v>9.590542294246049</c:v>
              </c:pt>
              <c:pt idx="24">
                <c:v>8.3159771611159385</c:v>
              </c:pt>
              <c:pt idx="25">
                <c:v>7.1483731170243239</c:v>
              </c:pt>
              <c:pt idx="26">
                <c:v>6.0896192006918035</c:v>
              </c:pt>
              <c:pt idx="27">
                <c:v>5.1396354571452303</c:v>
              </c:pt>
              <c:pt idx="28">
                <c:v>4.2964456991102171</c:v>
              </c:pt>
              <c:pt idx="29">
                <c:v>3.5563313632454752</c:v>
              </c:pt>
              <c:pt idx="30">
                <c:v>2.9140541327750711</c:v>
              </c:pt>
              <c:pt idx="31">
                <c:v>2.363130622287823</c:v>
              </c:pt>
              <c:pt idx="32">
                <c:v>1.8961397109958242</c:v>
              </c:pt>
              <c:pt idx="33">
                <c:v>1.505042238647053</c:v>
              </c:pt>
              <c:pt idx="34">
                <c:v>1.1814936956664321</c:v>
              </c:pt>
              <c:pt idx="35">
                <c:v>0.91713300092483352</c:v>
              </c:pt>
              <c:pt idx="36">
                <c:v>0.70383407229329609</c:v>
              </c:pt>
              <c:pt idx="37">
                <c:v>0.53391117681718903</c:v>
              </c:pt>
              <c:pt idx="38">
                <c:v>0.40027350244274357</c:v>
              </c:pt>
              <c:pt idx="39">
                <c:v>0.29652857186063192</c:v>
              </c:pt>
              <c:pt idx="40">
                <c:v>0.21703766641619932</c:v>
              </c:pt>
              <c:pt idx="41">
                <c:v>0.15692911318667122</c:v>
              </c:pt>
              <c:pt idx="42">
                <c:v>0.11207701168151715</c:v>
              </c:pt>
              <c:pt idx="43">
                <c:v>7.9053758921654366E-2</c:v>
              </c:pt>
              <c:pt idx="44">
                <c:v>5.5064688939801695E-2</c:v>
              </c:pt>
              <c:pt idx="45">
                <c:v>3.787245369957476E-2</c:v>
              </c:pt>
              <c:pt idx="46">
                <c:v>2.5717644238754379E-2</c:v>
              </c:pt>
              <c:pt idx="47">
                <c:v>1.7240788750993392E-2</c:v>
              </c:pt>
              <c:pt idx="48">
                <c:v>1.1409448384713788E-2</c:v>
              </c:pt>
              <c:pt idx="49">
                <c:v>7.4528021313769802E-3</c:v>
              </c:pt>
              <c:pt idx="50">
                <c:v>4.804964150086204E-3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581-2E4D-849C-EA0BB9C0C070}"/>
            </c:ext>
          </c:extLst>
        </c:ser>
        <c:ser>
          <c:idx val="1"/>
          <c:order val="1"/>
          <c:tx>
            <c:v>Payoff</c:v>
          </c:tx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54.797895711060065</c:v>
              </c:pt>
              <c:pt idx="1">
                <c:v>53.18739617350937</c:v>
              </c:pt>
              <c:pt idx="2">
                <c:v>51.537117110608435</c:v>
              </c:pt>
              <c:pt idx="3">
                <c:v>49.846075963467797</c:v>
              </c:pt>
              <c:pt idx="4">
                <c:v>48.11326590387948</c:v>
              </c:pt>
              <c:pt idx="5">
                <c:v>46.337655234861998</c:v>
              </c:pt>
              <c:pt idx="6">
                <c:v>44.518186776398792</c:v>
              </c:pt>
              <c:pt idx="7">
                <c:v>42.653777236004288</c:v>
              </c:pt>
              <c:pt idx="8">
                <c:v>40.743316563742852</c:v>
              </c:pt>
              <c:pt idx="9">
                <c:v>38.785667291316756</c:v>
              </c:pt>
              <c:pt idx="10">
                <c:v>36.779663854829366</c:v>
              </c:pt>
              <c:pt idx="11">
                <c:v>34.724111900820645</c:v>
              </c:pt>
              <c:pt idx="12">
                <c:v>32.617787575161515</c:v>
              </c:pt>
              <c:pt idx="13">
                <c:v>30.459436794384175</c:v>
              </c:pt>
              <c:pt idx="14">
                <c:v>28.247774499013531</c:v>
              </c:pt>
              <c:pt idx="15">
                <c:v>25.981483888456495</c:v>
              </c:pt>
              <c:pt idx="16">
                <c:v>23.659215636992599</c:v>
              </c:pt>
              <c:pt idx="17">
                <c:v>21.279587090399602</c:v>
              </c:pt>
              <c:pt idx="18">
                <c:v>18.84118144273566</c:v>
              </c:pt>
              <c:pt idx="19">
                <c:v>16.342546892787794</c:v>
              </c:pt>
              <c:pt idx="20">
                <c:v>13.782195779684756</c:v>
              </c:pt>
              <c:pt idx="21">
                <c:v>11.158603697159208</c:v>
              </c:pt>
              <c:pt idx="22">
                <c:v>8.4702085859322409</c:v>
              </c:pt>
              <c:pt idx="23">
                <c:v>5.7154098036796057</c:v>
              </c:pt>
              <c:pt idx="24">
                <c:v>2.8925671720259913</c:v>
              </c:pt>
              <c:pt idx="25">
                <c:v>2.8421709430404007E-14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E581-2E4D-849C-EA0BB9C0C070}"/>
            </c:ext>
          </c:extLst>
        </c:ser>
        <c:ser>
          <c:idx val="2"/>
          <c:order val="2"/>
          <c:tx>
            <c:v>BS Price</c:v>
          </c:tx>
          <c:spPr>
            <a:ln w="53975">
              <a:solidFill>
                <a:srgbClr val="C83200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50.103726941261883</c:v>
              </c:pt>
              <c:pt idx="1">
                <c:v>48.499031491761798</c:v>
              </c:pt>
              <c:pt idx="2">
                <c:v>46.857261881300715</c:v>
              </c:pt>
              <c:pt idx="3">
                <c:v>45.178528241907514</c:v>
              </c:pt>
              <c:pt idx="4">
                <c:v>43.463280150859944</c:v>
              </c:pt>
              <c:pt idx="5">
                <c:v>41.712395106437427</c:v>
              </c:pt>
              <c:pt idx="6">
                <c:v>39.927277044788156</c:v>
              </c:pt>
              <c:pt idx="7">
                <c:v>38.109961911874677</c:v>
              </c:pt>
              <c:pt idx="8">
                <c:v>36.263225714544831</c:v>
              </c:pt>
              <c:pt idx="9">
                <c:v>34.390688818509389</c:v>
              </c:pt>
              <c:pt idx="10">
                <c:v>32.496908709856669</c:v>
              </c:pt>
              <c:pt idx="11">
                <c:v>30.587452201562499</c:v>
              </c:pt>
              <c:pt idx="12">
                <c:v>28.668937378091812</c:v>
              </c:pt>
              <c:pt idx="13">
                <c:v>26.749035652054786</c:v>
              </c:pt>
              <c:pt idx="14">
                <c:v>24.836425336195745</c:v>
              </c:pt>
              <c:pt idx="15">
                <c:v>22.940690211132377</c:v>
              </c:pt>
              <c:pt idx="16">
                <c:v>21.072159681236727</c:v>
              </c:pt>
              <c:pt idx="17">
                <c:v>19.241691110829962</c:v>
              </c:pt>
              <c:pt idx="18">
                <c:v>17.460399534529444</c:v>
              </c:pt>
              <c:pt idx="19">
                <c:v>15.739344730451066</c:v>
              </c:pt>
              <c:pt idx="20">
                <c:v>14.089190139512908</c:v>
              </c:pt>
              <c:pt idx="21">
                <c:v>12.519851786718128</c:v>
              </c:pt>
              <c:pt idx="22">
                <c:v>11.040157729948341</c:v>
              </c:pt>
              <c:pt idx="23">
                <c:v>9.6575392583043325</c:v>
              </c:pt>
              <c:pt idx="24">
                <c:v>8.377773886709015</c:v>
              </c:pt>
              <c:pt idx="25">
                <c:v>7.2047971590081161</c:v>
              </c:pt>
              <c:pt idx="26">
                <c:v>6.1405956131683368</c:v>
              </c:pt>
              <c:pt idx="27">
                <c:v>5.1851874152905637</c:v>
              </c:pt>
              <c:pt idx="28">
                <c:v>4.3366907190066044</c:v>
              </c:pt>
              <c:pt idx="29">
                <c:v>3.5914734126785781</c:v>
              </c:pt>
              <c:pt idx="30">
                <c:v>2.9443722260913638</c:v>
              </c:pt>
              <c:pt idx="31">
                <c:v>2.3889647328119921</c:v>
              </c:pt>
              <c:pt idx="32">
                <c:v>1.9178749919868459</c:v>
              </c:pt>
              <c:pt idx="33">
                <c:v>1.5230926055729324</c:v>
              </c:pt>
              <c:pt idx="34">
                <c:v>1.1962857877706803</c:v>
              </c:pt>
              <c:pt idx="35">
                <c:v>0.92909141907743376</c:v>
              </c:pt>
              <c:pt idx="36">
                <c:v>0.71336860265336455</c:v>
              </c:pt>
              <c:pt idx="37">
                <c:v>0.54140648150449699</c:v>
              </c:pt>
              <c:pt idx="38">
                <c:v>0.40608151687302918</c:v>
              </c:pt>
              <c:pt idx="39">
                <c:v>0.30096361952739148</c:v>
              </c:pt>
              <c:pt idx="40">
                <c:v>0.22037410670062441</c:v>
              </c:pt>
              <c:pt idx="41">
                <c:v>0.15940119035262379</c:v>
              </c:pt>
              <c:pt idx="42">
                <c:v>0.1138804800262907</c:v>
              </c:pt>
              <c:pt idx="43">
                <c:v>8.0348819365834157E-2</c:v>
              </c:pt>
              <c:pt idx="44">
                <c:v>5.597977958780076E-2</c:v>
              </c:pt>
              <c:pt idx="45">
                <c:v>3.8508480630157438E-2</c:v>
              </c:pt>
              <c:pt idx="46">
                <c:v>2.6152306735987008E-2</c:v>
              </c:pt>
              <c:pt idx="47">
                <c:v>1.753273320472154E-2</c:v>
              </c:pt>
              <c:pt idx="48">
                <c:v>1.1602066587762083E-2</c:v>
              </c:pt>
              <c:pt idx="49">
                <c:v>7.5775645689466486E-3</c:v>
              </c:pt>
              <c:pt idx="50">
                <c:v>4.8842418384024283E-3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581-2E4D-849C-EA0BB9C0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967407"/>
        <c:axId val="1122238943"/>
      </c:scatterChart>
      <c:valAx>
        <c:axId val="1449967407"/>
        <c:scaling>
          <c:orientation val="minMax"/>
          <c:max val="222"/>
          <c:min val="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Underlying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2238943"/>
        <c:crosses val="autoZero"/>
        <c:crossBetween val="midCat"/>
      </c:valAx>
      <c:valAx>
        <c:axId val="11222389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996740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 Delta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-1.0133894431511177</c:v>
              </c:pt>
              <c:pt idx="1">
                <c:v>-1.0068391257714506</c:v>
              </c:pt>
              <c:pt idx="2">
                <c:v>-1.0014732925476255</c:v>
              </c:pt>
              <c:pt idx="3">
                <c:v>-0.99663000590641848</c:v>
              </c:pt>
              <c:pt idx="4">
                <c:v>-0.99175598811743726</c:v>
              </c:pt>
              <c:pt idx="5">
                <c:v>-0.98637202711263472</c:v>
              </c:pt>
              <c:pt idx="6">
                <c:v>-0.98004609615980431</c:v>
              </c:pt>
              <c:pt idx="7">
                <c:v>-0.97237440351352611</c:v>
              </c:pt>
              <c:pt idx="8">
                <c:v>-0.96297020442166703</c:v>
              </c:pt>
              <c:pt idx="9">
                <c:v>-0.95145992505069066</c:v>
              </c:pt>
              <c:pt idx="10">
                <c:v>-0.93748591125481617</c:v>
              </c:pt>
              <c:pt idx="11">
                <c:v>-0.92071488564138626</c:v>
              </c:pt>
              <c:pt idx="12">
                <c:v>-0.90085095637744528</c:v>
              </c:pt>
              <c:pt idx="13">
                <c:v>-0.87765177545863748</c:v>
              </c:pt>
              <c:pt idx="14">
                <c:v>-0.85094621714197949</c:v>
              </c:pt>
              <c:pt idx="15">
                <c:v>-0.82065177690693292</c:v>
              </c:pt>
              <c:pt idx="16">
                <c:v>-0.7867898206332723</c:v>
              </c:pt>
              <c:pt idx="17">
                <c:v>-0.74949688123885727</c:v>
              </c:pt>
              <c:pt idx="18">
                <c:v>-0.70903043079096761</c:v>
              </c:pt>
              <c:pt idx="19">
                <c:v>-0.66576795432931768</c:v>
              </c:pt>
              <c:pt idx="20">
                <c:v>-0.62019869684462814</c:v>
              </c:pt>
              <c:pt idx="21">
                <c:v>-0.57290810205232479</c:v>
              </c:pt>
              <c:pt idx="22">
                <c:v>-0.52455564587618775</c:v>
              </c:pt>
              <c:pt idx="23">
                <c:v>-0.47584741250579699</c:v>
              </c:pt>
              <c:pt idx="24">
                <c:v>-0.42750528964594581</c:v>
              </c:pt>
              <c:pt idx="25">
                <c:v>-0.38023500651743458</c:v>
              </c:pt>
              <c:pt idx="26">
                <c:v>-0.33469535930219058</c:v>
              </c:pt>
              <c:pt idx="27">
                <c:v>-0.29147084883247526</c:v>
              </c:pt>
              <c:pt idx="28">
                <c:v>-0.25104961049809438</c:v>
              </c:pt>
              <c:pt idx="29">
                <c:v>-0.21380799156566974</c:v>
              </c:pt>
              <c:pt idx="30">
                <c:v>-0.18000249316951925</c:v>
              </c:pt>
              <c:pt idx="31">
                <c:v>-0.14976912151406793</c:v>
              </c:pt>
              <c:pt idx="32">
                <c:v>-0.12312956358804637</c:v>
              </c:pt>
              <c:pt idx="33">
                <c:v>-0.1000030841233169</c:v>
              </c:pt>
              <c:pt idx="34">
                <c:v>-8.0222680241781322E-2</c:v>
              </c:pt>
              <c:pt idx="35">
                <c:v>-6.3553851444735313E-2</c:v>
              </c:pt>
              <c:pt idx="36">
                <c:v>-4.9714343507321151E-2</c:v>
              </c:pt>
              <c:pt idx="37">
                <c:v>-3.8393381816874718E-2</c:v>
              </c:pt>
              <c:pt idx="38">
                <c:v>-2.926918333728588E-2</c:v>
              </c:pt>
              <c:pt idx="39">
                <c:v>-2.2023879086088237E-2</c:v>
              </c:pt>
              <c:pt idx="40">
                <c:v>-1.6355342608139142E-2</c:v>
              </c:pt>
              <c:pt idx="41">
                <c:v>-1.1985762169655636E-2</c:v>
              </c:pt>
              <c:pt idx="42">
                <c:v>-8.6670834477531652E-3</c:v>
              </c:pt>
              <c:pt idx="43">
                <c:v>-6.1836660915714587E-3</c:v>
              </c:pt>
              <c:pt idx="44">
                <c:v>-4.3526349274358713E-3</c:v>
              </c:pt>
              <c:pt idx="45">
                <c:v>-3.0224686883133785E-3</c:v>
              </c:pt>
              <c:pt idx="46">
                <c:v>-2.0703676302151761E-3</c:v>
              </c:pt>
              <c:pt idx="47">
                <c:v>-1.3988923307436223E-3</c:v>
              </c:pt>
              <c:pt idx="48">
                <c:v>-9.3228670625873319E-4</c:v>
              </c:pt>
              <c:pt idx="49">
                <c:v>-6.1280496619764348E-4</c:v>
              </c:pt>
              <c:pt idx="50">
                <c:v>-3.9726807825675816E-4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124-FD40-B4DA-B4E797AF7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406591"/>
        <c:axId val="1106084879"/>
      </c:scatterChart>
      <c:valAx>
        <c:axId val="1105406591"/>
        <c:scaling>
          <c:orientation val="minMax"/>
          <c:max val="222"/>
          <c:min val="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Underlying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6084879"/>
        <c:crosses val="autoZero"/>
        <c:crossBetween val="midCat"/>
      </c:valAx>
      <c:valAx>
        <c:axId val="1106084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54065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 Gamma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Lit>
              <c:formatCode>General</c:formatCode>
              <c:ptCount val="51"/>
              <c:pt idx="0">
                <c:v>65.202104288939935</c:v>
              </c:pt>
              <c:pt idx="1">
                <c:v>66.81260382649063</c:v>
              </c:pt>
              <c:pt idx="2">
                <c:v>68.462882889391565</c:v>
              </c:pt>
              <c:pt idx="3">
                <c:v>70.153924036532203</c:v>
              </c:pt>
              <c:pt idx="4">
                <c:v>71.88673409612052</c:v>
              </c:pt>
              <c:pt idx="5">
                <c:v>73.662344765138002</c:v>
              </c:pt>
              <c:pt idx="6">
                <c:v>75.481813223601208</c:v>
              </c:pt>
              <c:pt idx="7">
                <c:v>77.346222763995712</c:v>
              </c:pt>
              <c:pt idx="8">
                <c:v>79.256683436257148</c:v>
              </c:pt>
              <c:pt idx="9">
                <c:v>81.214332708683244</c:v>
              </c:pt>
              <c:pt idx="10">
                <c:v>83.220336145170634</c:v>
              </c:pt>
              <c:pt idx="11">
                <c:v>85.275888099179355</c:v>
              </c:pt>
              <c:pt idx="12">
                <c:v>87.382212424838485</c:v>
              </c:pt>
              <c:pt idx="13">
                <c:v>89.540563205615825</c:v>
              </c:pt>
              <c:pt idx="14">
                <c:v>91.752225500986469</c:v>
              </c:pt>
              <c:pt idx="15">
                <c:v>94.018516111543505</c:v>
              </c:pt>
              <c:pt idx="16">
                <c:v>96.340784363007401</c:v>
              </c:pt>
              <c:pt idx="17">
                <c:v>98.720412909600398</c:v>
              </c:pt>
              <c:pt idx="18">
                <c:v>101.15881855726434</c:v>
              </c:pt>
              <c:pt idx="19">
                <c:v>103.65745310721221</c:v>
              </c:pt>
              <c:pt idx="20">
                <c:v>106.21780422031524</c:v>
              </c:pt>
              <c:pt idx="21">
                <c:v>108.84139630284079</c:v>
              </c:pt>
              <c:pt idx="22">
                <c:v>111.52979141406776</c:v>
              </c:pt>
              <c:pt idx="23">
                <c:v>114.28459019632039</c:v>
              </c:pt>
              <c:pt idx="24">
                <c:v>117.10743282797401</c:v>
              </c:pt>
              <c:pt idx="25">
                <c:v>119.99999999999997</c:v>
              </c:pt>
              <c:pt idx="26">
                <c:v>122.96401391663159</c:v>
              </c:pt>
              <c:pt idx="27">
                <c:v>126.00123932074641</c:v>
              </c:pt>
              <c:pt idx="28">
                <c:v>129.11348454457575</c:v>
              </c:pt>
              <c:pt idx="29">
                <c:v>132.30260258636676</c:v>
              </c:pt>
              <c:pt idx="30">
                <c:v>135.5704922136382</c:v>
              </c:pt>
              <c:pt idx="31">
                <c:v>138.9190990936867</c:v>
              </c:pt>
              <c:pt idx="32">
                <c:v>142.35041695201681</c:v>
              </c:pt>
              <c:pt idx="33">
                <c:v>145.86648875938423</c:v>
              </c:pt>
              <c:pt idx="34">
                <c:v>149.46940794815924</c:v>
              </c:pt>
              <c:pt idx="35">
                <c:v>153.1613196587345</c:v>
              </c:pt>
              <c:pt idx="36">
                <c:v>156.9444220167191</c:v>
              </c:pt>
              <c:pt idx="37">
                <c:v>160.82096744167958</c:v>
              </c:pt>
              <c:pt idx="38">
                <c:v>164.79326398820706</c:v>
              </c:pt>
              <c:pt idx="39">
                <c:v>168.8636767201088</c:v>
              </c:pt>
              <c:pt idx="40">
                <c:v>173.034629118542</c:v>
              </c:pt>
              <c:pt idx="41">
                <c:v>177.30860452492988</c:v>
              </c:pt>
              <c:pt idx="42">
                <c:v>181.68814761951674</c:v>
              </c:pt>
              <c:pt idx="43">
                <c:v>186.17586593644393</c:v>
              </c:pt>
              <c:pt idx="44">
                <c:v>190.7744314162486</c:v>
              </c:pt>
              <c:pt idx="45">
                <c:v>195.48658199670896</c:v>
              </c:pt>
              <c:pt idx="46">
                <c:v>200.31512324298387</c:v>
              </c:pt>
              <c:pt idx="47">
                <c:v>205.26293001801704</c:v>
              </c:pt>
              <c:pt idx="48">
                <c:v>210.33294819420024</c:v>
              </c:pt>
              <c:pt idx="49">
                <c:v>215.52819640731494</c:v>
              </c:pt>
              <c:pt idx="50">
                <c:v>220.85176785379653</c:v>
              </c:pt>
            </c:numLit>
          </c:xVal>
          <c:yVal>
            <c:numLit>
              <c:formatCode>General</c:formatCode>
              <c:ptCount val="51"/>
              <c:pt idx="0">
                <c:v>-1.0891973855346838E-2</c:v>
              </c:pt>
              <c:pt idx="1">
                <c:v>-1.1489368478256524E-2</c:v>
              </c:pt>
              <c:pt idx="2">
                <c:v>-1.1632183995304012E-2</c:v>
              </c:pt>
              <c:pt idx="3">
                <c:v>-1.1417657403043067E-2</c:v>
              </c:pt>
              <c:pt idx="4">
                <c:v>-1.0914900766449333E-2</c:v>
              </c:pt>
              <c:pt idx="5">
                <c:v>-1.0171458596269828E-2</c:v>
              </c:pt>
              <c:pt idx="6">
                <c:v>-9.2194872760239487E-3</c:v>
              </c:pt>
              <c:pt idx="7">
                <c:v>-8.0813149274446428E-3</c:v>
              </c:pt>
              <c:pt idx="8">
                <c:v>-6.7742514570401542E-3</c:v>
              </c:pt>
              <c:pt idx="9">
                <c:v>-5.3145818936427471E-3</c:v>
              </c:pt>
              <c:pt idx="10">
                <c:v>-3.7207060304313552E-3</c:v>
              </c:pt>
              <c:pt idx="11">
                <c:v>-2.0153988150230415E-3</c:v>
              </c:pt>
              <c:pt idx="12">
                <c:v>-2.2717353968909498E-4</c:v>
              </c:pt>
              <c:pt idx="13">
                <c:v>1.609255944191931E-3</c:v>
              </c:pt>
              <c:pt idx="14">
                <c:v>3.4533905374916642E-3</c:v>
              </c:pt>
              <c:pt idx="15">
                <c:v>5.2601742014459826E-3</c:v>
              </c:pt>
              <c:pt idx="16">
                <c:v>6.9819187677770183E-3</c:v>
              </c:pt>
              <c:pt idx="17">
                <c:v>8.5707534394154766E-3</c:v>
              </c:pt>
              <c:pt idx="18">
                <c:v>9.9813772471043782E-3</c:v>
              </c:pt>
              <c:pt idx="19">
                <c:v>1.1173857913206358E-2</c:v>
              </c:pt>
              <c:pt idx="20">
                <c:v>1.2116208610489274E-2</c:v>
              </c:pt>
              <c:pt idx="21">
                <c:v>1.2786489845245077E-2</c:v>
              </c:pt>
              <c:pt idx="22">
                <c:v>1.3174227704691276E-2</c:v>
              </c:pt>
              <c:pt idx="23">
                <c:v>1.3281008130664447E-2</c:v>
              </c:pt>
              <c:pt idx="24">
                <c:v>1.3120191871165877E-2</c:v>
              </c:pt>
              <c:pt idx="25">
                <c:v>1.2715785701093206E-2</c:v>
              </c:pt>
              <c:pt idx="26">
                <c:v>1.2100590763385365E-2</c:v>
              </c:pt>
              <c:pt idx="27">
                <c:v>1.1313817659709496E-2</c:v>
              </c:pt>
              <c:pt idx="28">
                <c:v>1.0398402049058182E-2</c:v>
              </c:pt>
              <c:pt idx="29">
                <c:v>9.3982695492072638E-3</c:v>
              </c:pt>
              <c:pt idx="30">
                <c:v>8.3557846519257649E-3</c:v>
              </c:pt>
              <c:pt idx="31">
                <c:v>7.3095791315400931E-3</c:v>
              </c:pt>
              <c:pt idx="32">
                <c:v>6.2928982417301896E-3</c:v>
              </c:pt>
              <c:pt idx="33">
                <c:v>5.3325368136432835E-3</c:v>
              </c:pt>
              <c:pt idx="34">
                <c:v>4.4483714191292413E-3</c:v>
              </c:pt>
              <c:pt idx="35">
                <c:v>3.6534371088321987E-3</c:v>
              </c:pt>
              <c:pt idx="36">
                <c:v>2.9544537260815878E-3</c:v>
              </c:pt>
              <c:pt idx="37">
                <c:v>2.3526805172861672E-3</c:v>
              </c:pt>
              <c:pt idx="38">
                <c:v>1.8449689909932579E-3</c:v>
              </c:pt>
              <c:pt idx="39">
                <c:v>1.4248906303942462E-3</c:v>
              </c:pt>
              <c:pt idx="40">
                <c:v>1.0838344014892467E-3</c:v>
              </c:pt>
              <c:pt idx="41">
                <c:v>8.1199448646435482E-4</c:v>
              </c:pt>
              <c:pt idx="42">
                <c:v>5.9919679310428003E-4</c:v>
              </c:pt>
              <c:pt idx="43">
                <c:v>4.3553968080850851E-4</c:v>
              </c:pt>
              <c:pt idx="44">
                <c:v>3.1184719230470089E-4</c:v>
              </c:pt>
              <c:pt idx="45">
                <c:v>2.19950272904977E-4</c:v>
              </c:pt>
              <c:pt idx="46">
                <c:v>1.5282250911043759E-4</c:v>
              </c:pt>
              <c:pt idx="47">
                <c:v>1.0460223875694154E-4</c:v>
              </c:pt>
              <c:pt idx="48">
                <c:v>7.0533491068653295E-5</c:v>
              </c:pt>
              <c:pt idx="49">
                <c:v>4.6855416247173507E-5</c:v>
              </c:pt>
              <c:pt idx="50">
                <c:v>3.0665000905725363E-5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93A9-7542-A001-1BCBAAFDC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103"/>
        <c:axId val="1105290751"/>
      </c:scatterChart>
      <c:valAx>
        <c:axId val="1105289103"/>
        <c:scaling>
          <c:orientation val="minMax"/>
          <c:max val="222"/>
          <c:min val="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Underlying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5290751"/>
        <c:crosses val="autoZero"/>
        <c:crossBetween val="midCat"/>
      </c:valAx>
      <c:valAx>
        <c:axId val="1105290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Gamma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52891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U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787400</xdr:colOff>
          <xdr:row>3</xdr:row>
          <xdr:rowOff>12700</xdr:rowOff>
        </xdr:from>
        <xdr:to>
          <xdr:col>8</xdr:col>
          <xdr:colOff>342900</xdr:colOff>
          <xdr:row>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Compute Option Price!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520700</xdr:colOff>
          <xdr:row>5</xdr:row>
          <xdr:rowOff>76200</xdr:rowOff>
        </xdr:from>
        <xdr:to>
          <xdr:col>12</xdr:col>
          <xdr:colOff>469900</xdr:colOff>
          <xdr:row>7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Delete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8</xdr:row>
          <xdr:rowOff>25400</xdr:rowOff>
        </xdr:from>
        <xdr:to>
          <xdr:col>12</xdr:col>
          <xdr:colOff>482600</xdr:colOff>
          <xdr:row>10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Delete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10</xdr:row>
          <xdr:rowOff>177800</xdr:rowOff>
        </xdr:from>
        <xdr:to>
          <xdr:col>12</xdr:col>
          <xdr:colOff>482600</xdr:colOff>
          <xdr:row>13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Delete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825500</xdr:colOff>
          <xdr:row>5</xdr:row>
          <xdr:rowOff>88900</xdr:rowOff>
        </xdr:from>
        <xdr:to>
          <xdr:col>8</xdr:col>
          <xdr:colOff>520700</xdr:colOff>
          <xdr:row>8</xdr:row>
          <xdr:rowOff>114300</xdr:rowOff>
        </xdr:to>
        <xdr:sp macro="" textlink="">
          <xdr:nvSpPr>
            <xdr:cNvPr id="1031" name="extra_plots_check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with Rho, Vega, Theta plots</a:t>
              </a:r>
            </a:p>
            <a:p>
              <a:pPr algn="l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(longer computation time)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736600</xdr:colOff>
      <xdr:row>15</xdr:row>
      <xdr:rowOff>50800</xdr:rowOff>
    </xdr:from>
    <xdr:to>
      <xdr:col>7</xdr:col>
      <xdr:colOff>546100</xdr:colOff>
      <xdr:row>34</xdr:row>
      <xdr:rowOff>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9D9E46BB-7285-DA4F-85C1-18650B6867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355600</xdr:colOff>
      <xdr:row>15</xdr:row>
      <xdr:rowOff>50800</xdr:rowOff>
    </xdr:from>
    <xdr:to>
      <xdr:col>12</xdr:col>
      <xdr:colOff>635000</xdr:colOff>
      <xdr:row>34</xdr:row>
      <xdr:rowOff>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BCBE36EB-26BD-CC40-8340-32A25F4F6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622300</xdr:colOff>
      <xdr:row>15</xdr:row>
      <xdr:rowOff>50800</xdr:rowOff>
    </xdr:from>
    <xdr:to>
      <xdr:col>19</xdr:col>
      <xdr:colOff>749300</xdr:colOff>
      <xdr:row>34</xdr:row>
      <xdr:rowOff>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D888A62-3ADE-5A4E-AB53-042DF7F2C4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736600</xdr:colOff>
      <xdr:row>15</xdr:row>
      <xdr:rowOff>50800</xdr:rowOff>
    </xdr:from>
    <xdr:to>
      <xdr:col>7</xdr:col>
      <xdr:colOff>546100</xdr:colOff>
      <xdr:row>34</xdr:row>
      <xdr:rowOff>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F4927F8D-C6B2-1D45-B70F-FD38691E2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355600</xdr:colOff>
      <xdr:row>15</xdr:row>
      <xdr:rowOff>50800</xdr:rowOff>
    </xdr:from>
    <xdr:to>
      <xdr:col>12</xdr:col>
      <xdr:colOff>635000</xdr:colOff>
      <xdr:row>34</xdr:row>
      <xdr:rowOff>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E6B3874A-CBC1-B749-BBF8-3C7597782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622300</xdr:colOff>
      <xdr:row>15</xdr:row>
      <xdr:rowOff>50800</xdr:rowOff>
    </xdr:from>
    <xdr:to>
      <xdr:col>19</xdr:col>
      <xdr:colOff>749300</xdr:colOff>
      <xdr:row>34</xdr:row>
      <xdr:rowOff>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FEFDF29-2E39-0247-9461-A7FA59740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1C24-49F3-D940-BB16-AF1EAF7C7B82}">
  <sheetPr codeName="Foglio1"/>
  <dimension ref="A1:AY104"/>
  <sheetViews>
    <sheetView tabSelected="1" zoomScale="88" workbookViewId="0">
      <selection activeCell="F13" sqref="F13"/>
    </sheetView>
  </sheetViews>
  <sheetFormatPr baseColWidth="10" defaultRowHeight="16"/>
  <cols>
    <col min="2" max="2" width="12.83203125" customWidth="1"/>
    <col min="3" max="3" width="22.1640625" customWidth="1"/>
    <col min="4" max="4" width="5.1640625" customWidth="1"/>
    <col min="5" max="5" width="12.6640625" customWidth="1"/>
    <col min="7" max="7" width="18.33203125" customWidth="1"/>
    <col min="9" max="9" width="17.1640625" customWidth="1"/>
    <col min="10" max="10" width="14.6640625" customWidth="1"/>
    <col min="11" max="11" width="20.33203125" customWidth="1"/>
    <col min="13" max="13" width="8.5" customWidth="1"/>
    <col min="14" max="21" width="10.83203125" style="22"/>
    <col min="22" max="22" width="18" style="22" customWidth="1"/>
    <col min="23" max="23" width="28.5" style="22" customWidth="1"/>
    <col min="24" max="51" width="10.83203125" style="22"/>
  </cols>
  <sheetData>
    <row r="1" spans="1:27" s="22" customFormat="1">
      <c r="A1" s="20"/>
      <c r="B1" s="21"/>
    </row>
    <row r="2" spans="1:27" ht="21" customHeight="1">
      <c r="A2" s="20"/>
      <c r="B2" s="22"/>
      <c r="C2" s="34" t="s">
        <v>8</v>
      </c>
      <c r="D2" s="34"/>
      <c r="E2" s="34"/>
      <c r="F2" s="34"/>
      <c r="G2" s="34"/>
      <c r="H2" s="34"/>
      <c r="I2" s="34"/>
      <c r="J2" s="34"/>
      <c r="K2" s="34"/>
      <c r="L2" s="34"/>
      <c r="M2" s="34"/>
      <c r="U2" s="27" t="b">
        <v>0</v>
      </c>
    </row>
    <row r="3" spans="1:27">
      <c r="A3" s="20"/>
      <c r="B3" s="22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27">
      <c r="A4" s="20"/>
      <c r="B4" s="22"/>
      <c r="C4" s="2"/>
      <c r="D4" s="3"/>
      <c r="E4" s="4" t="s">
        <v>9</v>
      </c>
      <c r="F4" s="1"/>
      <c r="G4" s="1"/>
      <c r="H4" s="1"/>
      <c r="I4" s="1"/>
      <c r="J4" s="35" t="s">
        <v>25</v>
      </c>
      <c r="K4" s="36"/>
      <c r="L4" s="1"/>
      <c r="M4" s="1"/>
      <c r="N4" s="23"/>
    </row>
    <row r="5" spans="1:27">
      <c r="A5" s="20"/>
      <c r="B5" s="22"/>
      <c r="C5" s="24" t="s">
        <v>10</v>
      </c>
      <c r="D5" s="5" t="s">
        <v>22</v>
      </c>
      <c r="E5" s="6">
        <v>120</v>
      </c>
      <c r="F5" s="1"/>
      <c r="G5" s="1"/>
      <c r="H5" s="1"/>
      <c r="I5" s="1"/>
      <c r="J5" s="37">
        <v>7.2041758042675088</v>
      </c>
      <c r="K5" s="38"/>
      <c r="L5" s="1"/>
      <c r="M5" s="1"/>
    </row>
    <row r="6" spans="1:27">
      <c r="A6" s="20"/>
      <c r="B6" s="23"/>
      <c r="C6" s="24" t="s">
        <v>11</v>
      </c>
      <c r="D6" s="7" t="s">
        <v>12</v>
      </c>
      <c r="E6" s="6">
        <v>120</v>
      </c>
      <c r="F6" s="1"/>
      <c r="G6" s="1"/>
      <c r="H6" s="1"/>
      <c r="I6" s="1"/>
      <c r="J6" s="8"/>
      <c r="K6" s="1"/>
      <c r="L6" s="1"/>
      <c r="M6" s="1"/>
    </row>
    <row r="7" spans="1:27">
      <c r="A7" s="20"/>
      <c r="B7" s="22"/>
      <c r="C7" s="24" t="s">
        <v>18</v>
      </c>
      <c r="D7" s="7" t="s">
        <v>0</v>
      </c>
      <c r="E7" s="6">
        <v>0.04</v>
      </c>
      <c r="F7" s="1"/>
      <c r="G7" s="1"/>
      <c r="H7" s="1"/>
      <c r="I7" s="1"/>
      <c r="J7" s="9" t="s">
        <v>3</v>
      </c>
      <c r="K7" s="10">
        <v>-0.38023500651743458</v>
      </c>
      <c r="L7" s="1"/>
      <c r="M7" s="1"/>
    </row>
    <row r="8" spans="1:27">
      <c r="A8" s="20"/>
      <c r="B8" s="22"/>
      <c r="C8" s="24" t="s">
        <v>13</v>
      </c>
      <c r="D8" s="7" t="s">
        <v>14</v>
      </c>
      <c r="E8" s="6">
        <v>0.2</v>
      </c>
      <c r="F8" s="1"/>
      <c r="G8" s="1"/>
      <c r="H8" s="1"/>
      <c r="I8" s="1"/>
      <c r="J8" s="11" t="s">
        <v>4</v>
      </c>
      <c r="K8" s="12">
        <v>1.2715785701093206E-2</v>
      </c>
      <c r="L8" s="1"/>
      <c r="M8" s="1"/>
    </row>
    <row r="9" spans="1:27">
      <c r="A9" s="20"/>
      <c r="B9" s="22"/>
      <c r="C9" s="24" t="s">
        <v>19</v>
      </c>
      <c r="D9" s="7" t="s">
        <v>15</v>
      </c>
      <c r="E9" s="13">
        <v>44932</v>
      </c>
      <c r="F9" s="1"/>
      <c r="G9" s="1"/>
      <c r="H9" s="1"/>
      <c r="I9" s="1"/>
      <c r="J9" s="11" t="s">
        <v>6</v>
      </c>
      <c r="K9" s="12">
        <v>-52.912657273553876</v>
      </c>
      <c r="L9" s="1"/>
      <c r="M9" s="1"/>
    </row>
    <row r="10" spans="1:27">
      <c r="A10" s="22"/>
      <c r="B10" s="22"/>
      <c r="C10" s="24" t="s">
        <v>16</v>
      </c>
      <c r="D10" s="7" t="s">
        <v>2</v>
      </c>
      <c r="E10" s="6">
        <v>2000</v>
      </c>
      <c r="F10" s="14"/>
      <c r="G10" s="29" t="s">
        <v>27</v>
      </c>
      <c r="H10" s="30">
        <f ca="1">TODAY()</f>
        <v>44567</v>
      </c>
      <c r="I10" s="1"/>
      <c r="J10" s="11" t="s">
        <v>5</v>
      </c>
      <c r="K10" s="12">
        <v>-2.4553587241644692</v>
      </c>
      <c r="L10" s="1"/>
      <c r="M10" s="1"/>
    </row>
    <row r="11" spans="1:27">
      <c r="A11" s="22"/>
      <c r="B11" s="22"/>
      <c r="C11" s="24" t="s">
        <v>17</v>
      </c>
      <c r="D11" s="7" t="s">
        <v>1</v>
      </c>
      <c r="E11" s="28">
        <v>2000</v>
      </c>
      <c r="F11" s="14"/>
      <c r="G11" s="31" t="s">
        <v>28</v>
      </c>
      <c r="H11" s="32"/>
      <c r="I11" s="15"/>
      <c r="J11" s="16" t="s">
        <v>7</v>
      </c>
      <c r="K11" s="17">
        <v>45.766810612209774</v>
      </c>
      <c r="L11" s="1"/>
      <c r="M11" s="1"/>
    </row>
    <row r="12" spans="1:27">
      <c r="A12" s="22"/>
      <c r="B12" s="22"/>
      <c r="C12" s="24" t="s">
        <v>23</v>
      </c>
      <c r="D12" s="5"/>
      <c r="E12" s="6" t="s">
        <v>32</v>
      </c>
      <c r="F12" s="1"/>
      <c r="G12" s="1" t="s">
        <v>20</v>
      </c>
      <c r="H12" s="1" cm="1">
        <f t="array" aca="1" ref="H12" ca="1">BSCall(E5,E6,E7,E8,(E9-IF(ISBLANK(H11),H10,H11))/365)</f>
        <v>11.910064460729323</v>
      </c>
      <c r="I12" s="1"/>
      <c r="J12" s="1"/>
      <c r="K12" s="1"/>
      <c r="L12" s="1"/>
      <c r="M12" s="1"/>
    </row>
    <row r="13" spans="1:27">
      <c r="A13" s="22"/>
      <c r="B13" s="22"/>
      <c r="C13" s="25" t="s">
        <v>24</v>
      </c>
      <c r="D13" s="18"/>
      <c r="E13" s="19" t="s">
        <v>31</v>
      </c>
      <c r="F13" s="1"/>
      <c r="G13" s="1" t="s">
        <v>21</v>
      </c>
      <c r="H13" s="1" cm="1">
        <f t="array" aca="1" ref="H13" ca="1">BSPut(E5,E6,E7,E8,(E9-IF(ISBLANK(H11),H10,H11))/365)</f>
        <v>7.204797159008109</v>
      </c>
      <c r="I13" s="1"/>
      <c r="J13" s="1"/>
      <c r="K13" s="1"/>
      <c r="L13" s="1"/>
      <c r="M13" s="1"/>
    </row>
    <row r="14" spans="1:27" ht="29" customHeight="1">
      <c r="A14" s="22"/>
      <c r="B14" s="22"/>
      <c r="C14" s="1" t="s">
        <v>29</v>
      </c>
      <c r="D14" s="1"/>
      <c r="E14" s="1"/>
      <c r="F14" s="1"/>
      <c r="G14" s="1"/>
      <c r="H14" s="1"/>
      <c r="I14" s="1"/>
      <c r="J14" s="1"/>
      <c r="K14" s="1"/>
      <c r="L14" s="1"/>
      <c r="M14" s="1"/>
      <c r="S14" s="39" t="s">
        <v>26</v>
      </c>
      <c r="T14" s="39"/>
      <c r="U14" s="39"/>
      <c r="W14" s="33" t="s">
        <v>30</v>
      </c>
    </row>
    <row r="15" spans="1:27" s="22" customFormat="1" ht="4" customHeight="1">
      <c r="S15" s="39"/>
      <c r="T15" s="39"/>
      <c r="U15" s="39"/>
      <c r="W15" s="33"/>
      <c r="X15" s="26"/>
      <c r="Y15" s="26"/>
      <c r="Z15" s="26"/>
      <c r="AA15" s="26"/>
    </row>
    <row r="16" spans="1:27" s="22" customFormat="1"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W16" s="26"/>
      <c r="X16" s="26"/>
      <c r="Y16" s="26"/>
      <c r="Z16" s="26"/>
      <c r="AA16" s="26"/>
    </row>
    <row r="17" spans="3:27" s="22" customFormat="1"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W17" s="26"/>
      <c r="X17" s="26"/>
      <c r="Y17" s="26"/>
      <c r="Z17" s="26"/>
      <c r="AA17" s="26"/>
    </row>
    <row r="18" spans="3:27" s="22" customFormat="1"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W18" s="26"/>
      <c r="X18" s="26"/>
      <c r="Y18" s="26"/>
      <c r="Z18" s="26"/>
      <c r="AA18" s="26"/>
    </row>
    <row r="19" spans="3:27" s="22" customFormat="1"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W19" s="26"/>
      <c r="X19" s="26"/>
      <c r="Y19" s="26"/>
      <c r="Z19" s="26"/>
      <c r="AA19" s="26"/>
    </row>
    <row r="20" spans="3:27" s="22" customFormat="1"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W20" s="26"/>
      <c r="X20" s="26"/>
      <c r="Y20" s="26"/>
      <c r="Z20" s="26"/>
      <c r="AA20" s="26"/>
    </row>
    <row r="21" spans="3:27" s="22" customFormat="1"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W21" s="26"/>
      <c r="X21" s="26"/>
      <c r="Y21" s="26"/>
      <c r="Z21" s="26"/>
      <c r="AA21" s="26"/>
    </row>
    <row r="22" spans="3:27" s="22" customFormat="1"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W22" s="26"/>
      <c r="X22" s="26"/>
      <c r="Y22" s="26"/>
      <c r="Z22" s="26"/>
      <c r="AA22" s="26"/>
    </row>
    <row r="23" spans="3:27" s="22" customFormat="1"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W23" s="26"/>
      <c r="X23" s="26"/>
      <c r="Y23" s="26"/>
      <c r="Z23" s="26"/>
      <c r="AA23" s="26"/>
    </row>
    <row r="24" spans="3:27" s="22" customFormat="1"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W24" s="26"/>
      <c r="X24" s="26"/>
      <c r="Y24" s="26"/>
      <c r="Z24" s="26"/>
      <c r="AA24" s="26"/>
    </row>
    <row r="25" spans="3:27" s="22" customFormat="1"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W25" s="26"/>
      <c r="X25" s="26"/>
      <c r="Y25" s="26"/>
      <c r="Z25" s="26"/>
      <c r="AA25" s="26"/>
    </row>
    <row r="26" spans="3:27" s="22" customFormat="1"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W26" s="26"/>
      <c r="X26" s="26"/>
      <c r="Y26" s="26"/>
      <c r="Z26" s="26"/>
      <c r="AA26" s="26"/>
    </row>
    <row r="27" spans="3:27" s="22" customFormat="1"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W27" s="26"/>
      <c r="X27" s="26"/>
      <c r="Y27" s="26"/>
      <c r="Z27" s="26"/>
      <c r="AA27" s="26"/>
    </row>
    <row r="28" spans="3:27" s="22" customFormat="1"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W28" s="26"/>
      <c r="X28" s="26"/>
      <c r="Y28" s="26"/>
      <c r="Z28" s="26"/>
      <c r="AA28" s="26"/>
    </row>
    <row r="29" spans="3:27" s="22" customFormat="1"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W29" s="26"/>
      <c r="X29" s="26"/>
      <c r="Y29" s="26"/>
      <c r="Z29" s="26"/>
      <c r="AA29" s="26"/>
    </row>
    <row r="30" spans="3:27" s="22" customFormat="1"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W30" s="26"/>
      <c r="X30" s="26"/>
      <c r="Y30" s="26"/>
      <c r="Z30" s="26"/>
      <c r="AA30" s="26"/>
    </row>
    <row r="31" spans="3:27" s="22" customFormat="1"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W31" s="26"/>
      <c r="X31" s="26"/>
      <c r="Y31" s="26"/>
      <c r="Z31" s="26"/>
      <c r="AA31" s="26"/>
    </row>
    <row r="32" spans="3:27" s="22" customFormat="1"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W32" s="26"/>
      <c r="X32" s="26"/>
      <c r="Y32" s="26"/>
      <c r="Z32" s="26"/>
      <c r="AA32" s="26"/>
    </row>
    <row r="33" spans="3:27" s="22" customFormat="1"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W33" s="26"/>
      <c r="X33" s="26"/>
      <c r="Y33" s="26"/>
      <c r="Z33" s="26"/>
      <c r="AA33" s="26"/>
    </row>
    <row r="34" spans="3:27" s="22" customFormat="1"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W34" s="26"/>
      <c r="X34" s="26"/>
      <c r="Y34" s="26"/>
      <c r="Z34" s="26"/>
      <c r="AA34" s="26"/>
    </row>
    <row r="35" spans="3:27" s="22" customFormat="1"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W35" s="26"/>
      <c r="X35" s="26"/>
      <c r="Y35" s="26"/>
      <c r="Z35" s="26"/>
      <c r="AA35" s="26"/>
    </row>
    <row r="36" spans="3:27" s="22" customFormat="1"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3:27" s="22" customFormat="1"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</row>
    <row r="38" spans="3:27" s="22" customFormat="1"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3:27" s="22" customFormat="1"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</row>
    <row r="40" spans="3:27" s="22" customFormat="1"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3:27" s="22" customFormat="1"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</row>
    <row r="42" spans="3:27" s="22" customFormat="1"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</row>
    <row r="43" spans="3:27" s="22" customFormat="1"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3:27" s="22" customFormat="1"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3:27" s="22" customFormat="1"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3:27" s="22" customFormat="1"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</row>
    <row r="47" spans="3:27" s="22" customFormat="1"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3:27" s="22" customFormat="1"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3:21" s="22" customFormat="1"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3:21" s="22" customFormat="1"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</row>
    <row r="51" spans="3:21" s="22" customFormat="1"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3:21" s="22" customFormat="1"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3:21" s="22" customFormat="1"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3:21" s="22" customFormat="1"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3:21" s="22" customFormat="1"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3:21" s="22" customFormat="1"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3:21" s="22" customFormat="1"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3:21" s="22" customFormat="1"/>
    <row r="59" spans="3:21" s="22" customFormat="1"/>
    <row r="60" spans="3:21" s="22" customFormat="1"/>
    <row r="61" spans="3:21" s="22" customFormat="1"/>
    <row r="62" spans="3:21" s="22" customFormat="1"/>
    <row r="63" spans="3:21" s="22" customFormat="1"/>
    <row r="64" spans="3:21" s="22" customFormat="1"/>
    <row r="65" s="22" customFormat="1"/>
    <row r="66" s="22" customFormat="1"/>
    <row r="67" s="22" customFormat="1"/>
    <row r="68" s="22" customFormat="1"/>
    <row r="69" s="22" customFormat="1"/>
    <row r="70" s="22" customFormat="1"/>
    <row r="71" s="22" customFormat="1"/>
    <row r="72" s="22" customFormat="1"/>
    <row r="73" s="22" customFormat="1"/>
    <row r="74" s="22" customFormat="1"/>
    <row r="75" s="22" customFormat="1"/>
    <row r="76" s="22" customFormat="1"/>
    <row r="77" s="22" customFormat="1"/>
    <row r="78" s="22" customFormat="1"/>
    <row r="79" s="22" customFormat="1"/>
    <row r="80" s="22" customFormat="1"/>
    <row r="81" s="22" customFormat="1"/>
    <row r="82" s="22" customFormat="1"/>
    <row r="83" s="22" customFormat="1"/>
    <row r="84" s="22" customFormat="1"/>
    <row r="85" s="22" customFormat="1"/>
    <row r="86" s="22" customFormat="1"/>
    <row r="87" s="22" customFormat="1"/>
    <row r="88" s="22" customFormat="1"/>
    <row r="89" s="22" customFormat="1"/>
    <row r="90" s="22" customFormat="1"/>
    <row r="91" s="22" customFormat="1"/>
    <row r="92" s="22" customFormat="1"/>
    <row r="93" s="22" customFormat="1"/>
    <row r="94" s="22" customFormat="1"/>
    <row r="95" s="22" customFormat="1"/>
    <row r="96" s="22" customFormat="1"/>
    <row r="97" s="22" customFormat="1"/>
    <row r="98" s="22" customFormat="1"/>
    <row r="99" s="22" customFormat="1"/>
    <row r="100" s="22" customFormat="1"/>
    <row r="101" s="22" customFormat="1"/>
    <row r="102" s="22" customFormat="1"/>
    <row r="103" s="22" customFormat="1"/>
    <row r="104" s="22" customFormat="1"/>
  </sheetData>
  <mergeCells count="5">
    <mergeCell ref="W14:W15"/>
    <mergeCell ref="C2:M2"/>
    <mergeCell ref="J4:K4"/>
    <mergeCell ref="J5:K5"/>
    <mergeCell ref="S14:U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t_all">
                <anchor moveWithCells="1" sizeWithCells="1">
                  <from>
                    <xdr:col>5</xdr:col>
                    <xdr:colOff>787400</xdr:colOff>
                    <xdr:row>3</xdr:row>
                    <xdr:rowOff>12700</xdr:rowOff>
                  </from>
                  <to>
                    <xdr:col>8</xdr:col>
                    <xdr:colOff>342900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lete_charts">
                <anchor moveWithCells="1" sizeWithCells="1">
                  <from>
                    <xdr:col>11</xdr:col>
                    <xdr:colOff>520700</xdr:colOff>
                    <xdr:row>5</xdr:row>
                    <xdr:rowOff>76200</xdr:rowOff>
                  </from>
                  <to>
                    <xdr:col>12</xdr:col>
                    <xdr:colOff>469900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inputs">
                <anchor moveWithCells="1" sizeWithCells="1">
                  <from>
                    <xdr:col>11</xdr:col>
                    <xdr:colOff>533400</xdr:colOff>
                    <xdr:row>8</xdr:row>
                    <xdr:rowOff>25400</xdr:rowOff>
                  </from>
                  <to>
                    <xdr:col>12</xdr:col>
                    <xdr:colOff>482600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_results">
                <anchor moveWithCells="1" sizeWithCells="1">
                  <from>
                    <xdr:col>11</xdr:col>
                    <xdr:colOff>533400</xdr:colOff>
                    <xdr:row>10</xdr:row>
                    <xdr:rowOff>177800</xdr:rowOff>
                  </from>
                  <to>
                    <xdr:col>12</xdr:col>
                    <xdr:colOff>482600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extra_plots_check">
              <controlPr defaultSize="0" autoFill="0" autoLine="0" autoPict="0">
                <anchor moveWithCells="1">
                  <from>
                    <xdr:col>5</xdr:col>
                    <xdr:colOff>825500</xdr:colOff>
                    <xdr:row>5</xdr:row>
                    <xdr:rowOff>88900</xdr:rowOff>
                  </from>
                  <to>
                    <xdr:col>8</xdr:col>
                    <xdr:colOff>520700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Gadaleta</dc:creator>
  <cp:lastModifiedBy>Pietro Gadaleta</cp:lastModifiedBy>
  <dcterms:created xsi:type="dcterms:W3CDTF">2021-12-03T16:45:20Z</dcterms:created>
  <dcterms:modified xsi:type="dcterms:W3CDTF">2022-01-06T07:54:46Z</dcterms:modified>
</cp:coreProperties>
</file>